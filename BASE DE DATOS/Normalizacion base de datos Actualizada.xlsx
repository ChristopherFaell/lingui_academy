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false" localSheetId="0" name="_xlnm.Print_Area" vbProcedure="false">Hoja1!$A$17:$C$22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<sst xmlns="http://schemas.openxmlformats.org/spreadsheetml/2006/main" count="226" uniqueCount="158">
  <si>
    <t xml:space="preserve">estudiante</t>
  </si>
  <si>
    <t xml:space="preserve">nivel</t>
  </si>
  <si>
    <t xml:space="preserve">tipo_documento</t>
  </si>
  <si>
    <t xml:space="preserve">id</t>
  </si>
  <si>
    <t xml:space="preserve">codigo_estudiante</t>
  </si>
  <si>
    <t xml:space="preserve">nombre</t>
  </si>
  <si>
    <t xml:space="preserve">apellido</t>
  </si>
  <si>
    <t xml:space="preserve">tipo_documento_id</t>
  </si>
  <si>
    <t xml:space="preserve">numero_documento</t>
  </si>
  <si>
    <t xml:space="preserve">fecha_nacimiento</t>
  </si>
  <si>
    <t xml:space="preserve">correo_electronico</t>
  </si>
  <si>
    <t xml:space="preserve">numero_celular</t>
  </si>
  <si>
    <t xml:space="preserve">tipo_contrato_id</t>
  </si>
  <si>
    <t xml:space="preserve">fecha_inicio_contrato</t>
  </si>
  <si>
    <t xml:space="preserve">abreviatura</t>
  </si>
  <si>
    <t xml:space="preserve">Edinson</t>
  </si>
  <si>
    <t xml:space="preserve">Camargo</t>
  </si>
  <si>
    <t xml:space="preserve">28/10/1998</t>
  </si>
  <si>
    <t xml:space="preserve">Edimargo6117@gmail.com</t>
  </si>
  <si>
    <t xml:space="preserve">28/10/2023</t>
  </si>
  <si>
    <t xml:space="preserve">Elementary</t>
  </si>
  <si>
    <t xml:space="preserve">Cedula de ciudadania</t>
  </si>
  <si>
    <t xml:space="preserve">CC</t>
  </si>
  <si>
    <t xml:space="preserve">Ángel</t>
  </si>
  <si>
    <t xml:space="preserve">Bohada</t>
  </si>
  <si>
    <t xml:space="preserve">28/01/1996</t>
  </si>
  <si>
    <t xml:space="preserve">Abohada8744@soy.sena.edu.co</t>
  </si>
  <si>
    <t xml:space="preserve">15/08/2023</t>
  </si>
  <si>
    <t xml:space="preserve">Pre-intermediate</t>
  </si>
  <si>
    <t xml:space="preserve">Tarjeta de identidad</t>
  </si>
  <si>
    <t xml:space="preserve">TI</t>
  </si>
  <si>
    <t xml:space="preserve">Santiago</t>
  </si>
  <si>
    <t xml:space="preserve">Rozo</t>
  </si>
  <si>
    <t xml:space="preserve">13/05/2003</t>
  </si>
  <si>
    <t xml:space="preserve">Rsanti5068@yahoo.com</t>
  </si>
  <si>
    <t xml:space="preserve">13/11/2023</t>
  </si>
  <si>
    <t xml:space="preserve">Intermediate</t>
  </si>
  <si>
    <t xml:space="preserve">Christopher</t>
  </si>
  <si>
    <t xml:space="preserve">Ramírez</t>
  </si>
  <si>
    <t xml:space="preserve">14/12/1991</t>
  </si>
  <si>
    <t xml:space="preserve">crRami27@gmail.com</t>
  </si>
  <si>
    <t xml:space="preserve">Upper</t>
  </si>
  <si>
    <t xml:space="preserve">tipo_contrato</t>
  </si>
  <si>
    <t xml:space="preserve">Lucy</t>
  </si>
  <si>
    <t xml:space="preserve">Eden</t>
  </si>
  <si>
    <t xml:space="preserve">666@inferno.hell</t>
  </si>
  <si>
    <t xml:space="preserve">Advance</t>
  </si>
  <si>
    <t xml:space="preserve">duracion_mes</t>
  </si>
  <si>
    <t xml:space="preserve">duracion_hora</t>
  </si>
  <si>
    <t xml:space="preserve">Kids</t>
  </si>
  <si>
    <t xml:space="preserve">Normal</t>
  </si>
  <si>
    <t xml:space="preserve">usuario</t>
  </si>
  <si>
    <t xml:space="preserve">Intensivo</t>
  </si>
  <si>
    <t xml:space="preserve">modalidad_clase_id</t>
  </si>
  <si>
    <t xml:space="preserve">jornada_laboral_id</t>
  </si>
  <si>
    <t xml:space="preserve">unidad</t>
  </si>
  <si>
    <t xml:space="preserve">idioma</t>
  </si>
  <si>
    <t xml:space="preserve">1A</t>
  </si>
  <si>
    <t xml:space="preserve">id </t>
  </si>
  <si>
    <t xml:space="preserve">1B</t>
  </si>
  <si>
    <t xml:space="preserve">Inglés</t>
  </si>
  <si>
    <t xml:space="preserve">EN</t>
  </si>
  <si>
    <t xml:space="preserve">1C</t>
  </si>
  <si>
    <t xml:space="preserve">Francés</t>
  </si>
  <si>
    <t xml:space="preserve">FR</t>
  </si>
  <si>
    <t xml:space="preserve">2A</t>
  </si>
  <si>
    <t xml:space="preserve">Italiano</t>
  </si>
  <si>
    <t xml:space="preserve">IT</t>
  </si>
  <si>
    <t xml:space="preserve">2B</t>
  </si>
  <si>
    <t xml:space="preserve">Portugues</t>
  </si>
  <si>
    <t xml:space="preserve">PR</t>
  </si>
  <si>
    <t xml:space="preserve">usuario_rol</t>
  </si>
  <si>
    <t xml:space="preserve">2C</t>
  </si>
  <si>
    <t xml:space="preserve">Alemán</t>
  </si>
  <si>
    <t xml:space="preserve">GR</t>
  </si>
  <si>
    <t xml:space="preserve">usuario_id</t>
  </si>
  <si>
    <t xml:space="preserve">rol_id</t>
  </si>
  <si>
    <t xml:space="preserve">3A</t>
  </si>
  <si>
    <t xml:space="preserve">3B</t>
  </si>
  <si>
    <t xml:space="preserve">rol</t>
  </si>
  <si>
    <t xml:space="preserve">3C</t>
  </si>
  <si>
    <t xml:space="preserve">cargo</t>
  </si>
  <si>
    <t xml:space="preserve">4A</t>
  </si>
  <si>
    <t xml:space="preserve">Administrativo</t>
  </si>
  <si>
    <t xml:space="preserve">4B</t>
  </si>
  <si>
    <t xml:space="preserve">Profesor</t>
  </si>
  <si>
    <t xml:space="preserve">4C</t>
  </si>
  <si>
    <t xml:space="preserve">Recepcionista</t>
  </si>
  <si>
    <t xml:space="preserve">5A</t>
  </si>
  <si>
    <t xml:space="preserve">Estudiante</t>
  </si>
  <si>
    <t xml:space="preserve">5B</t>
  </si>
  <si>
    <t xml:space="preserve">Desarrollador</t>
  </si>
  <si>
    <t xml:space="preserve">5C</t>
  </si>
  <si>
    <t xml:space="preserve">6A</t>
  </si>
  <si>
    <t xml:space="preserve">jornada_laboral</t>
  </si>
  <si>
    <t xml:space="preserve">6B</t>
  </si>
  <si>
    <t xml:space="preserve">jornada</t>
  </si>
  <si>
    <t xml:space="preserve">6C</t>
  </si>
  <si>
    <t xml:space="preserve">Mañana</t>
  </si>
  <si>
    <t xml:space="preserve">Tarde</t>
  </si>
  <si>
    <t xml:space="preserve">componente</t>
  </si>
  <si>
    <t xml:space="preserve">Mixta</t>
  </si>
  <si>
    <t xml:space="preserve">estudiante_contrato</t>
  </si>
  <si>
    <t xml:space="preserve">Speaking</t>
  </si>
  <si>
    <t xml:space="preserve">estudiante_id</t>
  </si>
  <si>
    <t xml:space="preserve">Writing</t>
  </si>
  <si>
    <t xml:space="preserve">aula</t>
  </si>
  <si>
    <t xml:space="preserve">Listening</t>
  </si>
  <si>
    <t xml:space="preserve">name</t>
  </si>
  <si>
    <t xml:space="preserve">capacidad</t>
  </si>
  <si>
    <t xml:space="preserve">Reading</t>
  </si>
  <si>
    <t xml:space="preserve">Paris</t>
  </si>
  <si>
    <t xml:space="preserve">Grammar</t>
  </si>
  <si>
    <t xml:space="preserve">Tokio</t>
  </si>
  <si>
    <t xml:space="preserve">Vocabulary</t>
  </si>
  <si>
    <t xml:space="preserve">Roma</t>
  </si>
  <si>
    <t xml:space="preserve">Brasil</t>
  </si>
  <si>
    <t xml:space="preserve">estado</t>
  </si>
  <si>
    <t xml:space="preserve">Chicago</t>
  </si>
  <si>
    <t xml:space="preserve">info_clase</t>
  </si>
  <si>
    <t xml:space="preserve">bloque_id</t>
  </si>
  <si>
    <t xml:space="preserve">aula_id</t>
  </si>
  <si>
    <t xml:space="preserve">idioma_id</t>
  </si>
  <si>
    <t xml:space="preserve">nivel_id</t>
  </si>
  <si>
    <t xml:space="preserve">unidad_id</t>
  </si>
  <si>
    <t xml:space="preserve">instructor_id</t>
  </si>
  <si>
    <t xml:space="preserve">fecha_hora</t>
  </si>
  <si>
    <t xml:space="preserve">tipo_clase_id</t>
  </si>
  <si>
    <t xml:space="preserve">Aprobado</t>
  </si>
  <si>
    <t xml:space="preserve">bloque</t>
  </si>
  <si>
    <t xml:space="preserve">En curso</t>
  </si>
  <si>
    <t xml:space="preserve">sede</t>
  </si>
  <si>
    <t xml:space="preserve">A</t>
  </si>
  <si>
    <t xml:space="preserve">modalidad_clase</t>
  </si>
  <si>
    <t xml:space="preserve">B</t>
  </si>
  <si>
    <t xml:space="preserve">tipo</t>
  </si>
  <si>
    <t xml:space="preserve">C</t>
  </si>
  <si>
    <t xml:space="preserve">info_clase_estudiante</t>
  </si>
  <si>
    <t xml:space="preserve">Presencial</t>
  </si>
  <si>
    <t xml:space="preserve">info_clase_id</t>
  </si>
  <si>
    <t xml:space="preserve">Virtual</t>
  </si>
  <si>
    <t xml:space="preserve">tipo_clase</t>
  </si>
  <si>
    <t xml:space="preserve">seguimiento_academico</t>
  </si>
  <si>
    <t xml:space="preserve">componente_id</t>
  </si>
  <si>
    <t xml:space="preserve">Practica</t>
  </si>
  <si>
    <t xml:space="preserve">Tecnica</t>
  </si>
  <si>
    <t xml:space="preserve">Club</t>
  </si>
  <si>
    <t xml:space="preserve">estudiante-idioma</t>
  </si>
  <si>
    <t xml:space="preserve">usuario_idioma</t>
  </si>
  <si>
    <t xml:space="preserve">profesor_id</t>
  </si>
  <si>
    <t xml:space="preserve">matricula_unidad</t>
  </si>
  <si>
    <t xml:space="preserve">matricula_nivel_id</t>
  </si>
  <si>
    <t xml:space="preserve">fecha_inicial</t>
  </si>
  <si>
    <t xml:space="preserve">estado_id</t>
  </si>
  <si>
    <t xml:space="preserve">fecha_final</t>
  </si>
  <si>
    <t xml:space="preserve">…</t>
  </si>
  <si>
    <t xml:space="preserve">matricula_nivel</t>
  </si>
  <si>
    <t xml:space="preserve">Idioma_id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</si>
</sst>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6E6"/>
        <bgColor rgb="FFEEEEEE"/>
      </patternFill>
    </fill>
    <fill>
      <patternFill patternType="solid">
        <fgColor rgb="FF00A933"/>
        <bgColor rgb="FF069A2E"/>
      </patternFill>
    </fill>
    <fill>
      <patternFill patternType="solid">
        <fgColor rgb="FFDDDDDD"/>
        <bgColor rgb="FFE7E6E6"/>
      </patternFill>
    </fill>
    <fill>
      <patternFill patternType="solid">
        <fgColor rgb="FFEEEEEE"/>
        <bgColor rgb="FFE7E6E6"/>
      </patternFill>
    </fill>
    <fill>
      <patternFill patternType="solid">
        <fgColor rgb="FF069A2E"/>
        <bgColor rgb="FF00A9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dimargo6117@gmail.com" TargetMode="External"/><Relationship Id="rId2" Type="http://schemas.openxmlformats.org/officeDocument/2006/relationships/hyperlink" Target="mailto:Abohada8744@soy.sena.edu.co" TargetMode="External"/><Relationship Id="rId3" Type="http://schemas.openxmlformats.org/officeDocument/2006/relationships/hyperlink" Target="mailto:Rsanti5068@yahoo.com" TargetMode="External"/><Relationship Id="rId4" Type="http://schemas.openxmlformats.org/officeDocument/2006/relationships/hyperlink" Target="mailto:crRami27@gmail.com" TargetMode="External"/><Relationship Id="rId5" Type="http://schemas.openxmlformats.org/officeDocument/2006/relationships/hyperlink" Target="mailto:666@inferno.hel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8"/>
  <sheetViews>
    <sheetView showFormulas="false" showGridLines="true" showRowColHeaders="true" showZeros="true" rightToLeft="false" tabSelected="true" showOutlineSymbols="true" defaultGridColor="true" view="normal" topLeftCell="L1" colorId="64" zoomScale="91" zoomScaleNormal="91" zoomScalePageLayoutView="100" workbookViewId="0">
      <selection pane="topLeft" activeCell="N8" activeCellId="0" sqref="N8"/>
    </sheetView>
  </sheetViews>
  <sheetFormatPr defaultColWidth="11.4296875" defaultRowHeight="13.8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15.42"/>
    <col collapsed="false" customWidth="true" hidden="false" outlineLevel="0" max="4" min="4" style="1" width="19.57"/>
    <col collapsed="false" customWidth="true" hidden="false" outlineLevel="0" max="6" min="5" style="1" width="19.71"/>
    <col collapsed="false" customWidth="true" hidden="false" outlineLevel="0" max="7" min="7" style="1" width="17.42"/>
    <col collapsed="false" customWidth="true" hidden="false" outlineLevel="0" max="8" min="8" style="1" width="31"/>
    <col collapsed="false" customWidth="true" hidden="false" outlineLevel="0" max="9" min="9" style="1" width="18.57"/>
    <col collapsed="false" customWidth="true" hidden="false" outlineLevel="0" max="10" min="10" style="1" width="16.29"/>
    <col collapsed="false" customWidth="true" hidden="false" outlineLevel="0" max="11" min="11" style="1" width="21.15"/>
    <col collapsed="false" customWidth="true" hidden="false" outlineLevel="0" max="12" min="12" style="1" width="6.43"/>
    <col collapsed="false" customWidth="false" hidden="false" outlineLevel="0" max="14" min="13" style="1" width="11.43"/>
    <col collapsed="false" customWidth="true" hidden="false" outlineLevel="0" max="15" min="15" style="1" width="3.57"/>
    <col collapsed="false" customWidth="true" hidden="false" outlineLevel="0" max="16" min="16" style="1" width="16.85"/>
    <col collapsed="false" customWidth="false" hidden="false" outlineLevel="0" max="17" min="17" style="1" width="11.43"/>
    <col collapsed="false" customWidth="true" hidden="false" outlineLevel="0" max="18" min="18" style="1" width="3.42"/>
    <col collapsed="false" customWidth="true" hidden="false" outlineLevel="0" max="19" min="19" style="1" width="20.85"/>
    <col collapsed="false" customWidth="true" hidden="false" outlineLevel="0" max="20" min="20" style="1" width="14"/>
    <col collapsed="false" customWidth="true" hidden="false" outlineLevel="0" max="21" min="21" style="1" width="14.42"/>
    <col collapsed="false" customWidth="true" hidden="false" outlineLevel="0" max="22" min="22" style="1" width="16"/>
    <col collapsed="false" customWidth="true" hidden="false" outlineLevel="0" max="23" min="23" style="1" width="13.57"/>
    <col collapsed="false" customWidth="true" hidden="false" outlineLevel="0" max="24" min="24" style="1" width="14"/>
    <col collapsed="false" customWidth="true" hidden="false" outlineLevel="0" max="25" min="25" style="1" width="18.29"/>
    <col collapsed="false" customWidth="false" hidden="false" outlineLevel="0" max="1023" min="26" style="1" width="11.43"/>
  </cols>
  <sheetData>
    <row r="1" customFormat="false" ht="13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O1" s="3" t="s">
        <v>1</v>
      </c>
      <c r="P1" s="3"/>
      <c r="R1" s="3" t="s">
        <v>2</v>
      </c>
      <c r="S1" s="3"/>
      <c r="T1" s="3"/>
    </row>
    <row r="2" customFormat="false" ht="13.8" hidden="false" customHeight="false" outlineLevel="0" collapsed="false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/>
      <c r="O2" s="4" t="s">
        <v>3</v>
      </c>
      <c r="P2" s="4" t="s">
        <v>5</v>
      </c>
      <c r="R2" s="4" t="s">
        <v>3</v>
      </c>
      <c r="S2" s="4" t="s">
        <v>5</v>
      </c>
      <c r="T2" s="4" t="s">
        <v>14</v>
      </c>
    </row>
    <row r="3" customFormat="false" ht="14.9" hidden="false" customHeight="false" outlineLevel="0" collapsed="false">
      <c r="A3" s="5" t="n">
        <v>1</v>
      </c>
      <c r="B3" s="5" t="n">
        <v>6117</v>
      </c>
      <c r="C3" s="5" t="s">
        <v>15</v>
      </c>
      <c r="D3" s="5" t="s">
        <v>16</v>
      </c>
      <c r="E3" s="5" t="n">
        <v>1</v>
      </c>
      <c r="F3" s="5" t="n">
        <v>1110596117</v>
      </c>
      <c r="G3" s="5" t="s">
        <v>17</v>
      </c>
      <c r="H3" s="5" t="s">
        <v>18</v>
      </c>
      <c r="I3" s="5" t="n">
        <v>3134256978</v>
      </c>
      <c r="J3" s="5" t="n">
        <v>1</v>
      </c>
      <c r="K3" s="5" t="s">
        <v>19</v>
      </c>
      <c r="L3" s="5"/>
      <c r="O3" s="5" t="n">
        <v>1</v>
      </c>
      <c r="P3" s="5" t="s">
        <v>20</v>
      </c>
      <c r="R3" s="5" t="n">
        <v>1</v>
      </c>
      <c r="S3" s="5" t="s">
        <v>21</v>
      </c>
      <c r="T3" s="5" t="s">
        <v>22</v>
      </c>
    </row>
    <row r="4" customFormat="false" ht="14.9" hidden="false" customHeight="false" outlineLevel="0" collapsed="false">
      <c r="A4" s="5" t="n">
        <v>2</v>
      </c>
      <c r="B4" s="5" t="n">
        <v>8744</v>
      </c>
      <c r="C4" s="5" t="s">
        <v>23</v>
      </c>
      <c r="D4" s="5" t="s">
        <v>24</v>
      </c>
      <c r="E4" s="5" t="n">
        <v>1</v>
      </c>
      <c r="F4" s="5" t="n">
        <v>1110568744</v>
      </c>
      <c r="G4" s="6" t="s">
        <v>25</v>
      </c>
      <c r="H4" s="5" t="s">
        <v>26</v>
      </c>
      <c r="I4" s="5" t="n">
        <v>315689721</v>
      </c>
      <c r="J4" s="5" t="n">
        <v>2</v>
      </c>
      <c r="K4" s="5" t="s">
        <v>27</v>
      </c>
      <c r="L4" s="5"/>
      <c r="O4" s="5" t="n">
        <v>2</v>
      </c>
      <c r="P4" s="5" t="s">
        <v>28</v>
      </c>
      <c r="R4" s="5" t="n">
        <v>2</v>
      </c>
      <c r="S4" s="5" t="s">
        <v>29</v>
      </c>
      <c r="T4" s="5" t="s">
        <v>30</v>
      </c>
    </row>
    <row r="5" customFormat="false" ht="14.9" hidden="false" customHeight="false" outlineLevel="0" collapsed="false">
      <c r="A5" s="5" t="n">
        <v>3</v>
      </c>
      <c r="B5" s="5" t="n">
        <v>5068</v>
      </c>
      <c r="C5" s="5" t="s">
        <v>31</v>
      </c>
      <c r="D5" s="5" t="s">
        <v>32</v>
      </c>
      <c r="E5" s="5" t="n">
        <v>1</v>
      </c>
      <c r="F5" s="5" t="n">
        <v>1000695068</v>
      </c>
      <c r="G5" s="5" t="s">
        <v>33</v>
      </c>
      <c r="H5" s="5" t="s">
        <v>34</v>
      </c>
      <c r="I5" s="5" t="n">
        <v>314598264</v>
      </c>
      <c r="J5" s="5" t="n">
        <v>2</v>
      </c>
      <c r="K5" s="5" t="s">
        <v>35</v>
      </c>
      <c r="L5" s="5"/>
      <c r="O5" s="5" t="n">
        <v>3</v>
      </c>
      <c r="P5" s="5" t="s">
        <v>36</v>
      </c>
    </row>
    <row r="6" customFormat="false" ht="14.9" hidden="false" customHeight="false" outlineLevel="0" collapsed="false">
      <c r="A6" s="5" t="n">
        <v>4</v>
      </c>
      <c r="B6" s="5" t="n">
        <v>7710</v>
      </c>
      <c r="C6" s="5" t="s">
        <v>37</v>
      </c>
      <c r="D6" s="5" t="s">
        <v>38</v>
      </c>
      <c r="E6" s="5" t="n">
        <v>1</v>
      </c>
      <c r="F6" s="5" t="n">
        <v>1005717710</v>
      </c>
      <c r="G6" s="5" t="s">
        <v>39</v>
      </c>
      <c r="H6" s="5" t="s">
        <v>40</v>
      </c>
      <c r="I6" s="5" t="n">
        <v>3232010827</v>
      </c>
      <c r="J6" s="5" t="n">
        <v>1</v>
      </c>
      <c r="K6" s="6" t="n">
        <v>45324</v>
      </c>
      <c r="L6" s="5"/>
      <c r="O6" s="5" t="n">
        <v>4</v>
      </c>
      <c r="P6" s="5" t="s">
        <v>41</v>
      </c>
      <c r="R6" s="3" t="s">
        <v>42</v>
      </c>
      <c r="S6" s="3"/>
      <c r="T6" s="3"/>
      <c r="U6" s="3"/>
    </row>
    <row r="7" customFormat="false" ht="14.9" hidden="false" customHeight="false" outlineLevel="0" collapsed="false">
      <c r="A7" s="5" t="n">
        <v>5</v>
      </c>
      <c r="B7" s="5" t="n">
        <v>6667</v>
      </c>
      <c r="C7" s="5" t="s">
        <v>43</v>
      </c>
      <c r="D7" s="5" t="s">
        <v>44</v>
      </c>
      <c r="E7" s="5" t="n">
        <v>2</v>
      </c>
      <c r="F7" s="5" t="n">
        <v>66677767</v>
      </c>
      <c r="G7" s="6" t="n">
        <v>24264</v>
      </c>
      <c r="H7" s="5" t="s">
        <v>45</v>
      </c>
      <c r="I7" s="5" t="n">
        <v>6669766969</v>
      </c>
      <c r="J7" s="5" t="n">
        <v>1</v>
      </c>
      <c r="K7" s="6" t="n">
        <v>45449</v>
      </c>
      <c r="L7" s="5"/>
      <c r="O7" s="5" t="n">
        <v>5</v>
      </c>
      <c r="P7" s="5" t="s">
        <v>46</v>
      </c>
      <c r="R7" s="4" t="s">
        <v>3</v>
      </c>
      <c r="S7" s="4" t="s">
        <v>5</v>
      </c>
      <c r="T7" s="4" t="s">
        <v>47</v>
      </c>
      <c r="U7" s="4" t="s">
        <v>48</v>
      </c>
    </row>
    <row r="8" customFormat="false" ht="13.8" hidden="false" customHeight="false" outlineLevel="0" collapsed="false">
      <c r="O8" s="5" t="n">
        <v>6</v>
      </c>
      <c r="P8" s="5" t="s">
        <v>49</v>
      </c>
      <c r="R8" s="5" t="n">
        <v>1</v>
      </c>
      <c r="S8" s="5" t="s">
        <v>50</v>
      </c>
      <c r="T8" s="5" t="n">
        <v>12</v>
      </c>
      <c r="U8" s="5" t="n">
        <f aca="false">52*3</f>
        <v>156</v>
      </c>
    </row>
    <row r="9" customFormat="false" ht="13.8" hidden="false" customHeight="false" outlineLevel="0" collapsed="false">
      <c r="A9" s="2" t="s">
        <v>51</v>
      </c>
      <c r="B9" s="2"/>
      <c r="C9" s="2"/>
      <c r="D9" s="2"/>
      <c r="E9" s="2"/>
      <c r="F9" s="2"/>
      <c r="G9" s="2"/>
      <c r="H9" s="2"/>
      <c r="I9" s="2"/>
      <c r="J9" s="7"/>
      <c r="R9" s="5" t="n">
        <v>2</v>
      </c>
      <c r="S9" s="5" t="s">
        <v>52</v>
      </c>
      <c r="T9" s="5" t="n">
        <v>6</v>
      </c>
      <c r="U9" s="5" t="n">
        <f aca="false">26*6</f>
        <v>156</v>
      </c>
    </row>
    <row r="10" customFormat="false" ht="13.8" hidden="false" customHeight="false" outlineLevel="0" collapsed="false">
      <c r="A10" s="4" t="s">
        <v>3</v>
      </c>
      <c r="B10" s="4" t="s">
        <v>5</v>
      </c>
      <c r="C10" s="4" t="s">
        <v>6</v>
      </c>
      <c r="D10" s="4" t="s">
        <v>7</v>
      </c>
      <c r="E10" s="4" t="s">
        <v>8</v>
      </c>
      <c r="F10" s="4" t="s">
        <v>10</v>
      </c>
      <c r="G10" s="4" t="s">
        <v>11</v>
      </c>
      <c r="H10" s="4" t="s">
        <v>53</v>
      </c>
      <c r="I10" s="4" t="s">
        <v>54</v>
      </c>
      <c r="J10" s="8"/>
      <c r="O10" s="3" t="s">
        <v>55</v>
      </c>
      <c r="P10" s="3"/>
    </row>
    <row r="11" customFormat="false" ht="13.8" hidden="false" customHeight="false" outlineLevel="0" collapsed="false">
      <c r="A11" s="5" t="n">
        <v>1</v>
      </c>
      <c r="B11" s="5"/>
      <c r="C11" s="5"/>
      <c r="D11" s="5"/>
      <c r="E11" s="5"/>
      <c r="F11" s="5"/>
      <c r="G11" s="5"/>
      <c r="H11" s="5"/>
      <c r="I11" s="5"/>
      <c r="J11" s="8"/>
      <c r="O11" s="4" t="s">
        <v>3</v>
      </c>
      <c r="P11" s="4" t="s">
        <v>5</v>
      </c>
      <c r="R11" s="3" t="s">
        <v>56</v>
      </c>
      <c r="S11" s="3"/>
      <c r="T11" s="3"/>
    </row>
    <row r="12" customFormat="false" ht="13.8" hidden="false" customHeight="false" outlineLevel="0" collapsed="false">
      <c r="A12" s="5" t="n">
        <v>2</v>
      </c>
      <c r="B12" s="5"/>
      <c r="C12" s="5"/>
      <c r="D12" s="5"/>
      <c r="E12" s="5"/>
      <c r="F12" s="5"/>
      <c r="G12" s="5"/>
      <c r="H12" s="5"/>
      <c r="I12" s="5"/>
      <c r="J12" s="8"/>
      <c r="O12" s="5" t="n">
        <v>1</v>
      </c>
      <c r="P12" s="5" t="s">
        <v>57</v>
      </c>
      <c r="R12" s="4" t="s">
        <v>58</v>
      </c>
      <c r="S12" s="4" t="s">
        <v>5</v>
      </c>
      <c r="T12" s="4" t="s">
        <v>14</v>
      </c>
    </row>
    <row r="13" customFormat="false" ht="13.8" hidden="false" customHeight="false" outlineLevel="0" collapsed="false">
      <c r="A13" s="5" t="n">
        <v>3</v>
      </c>
      <c r="B13" s="5"/>
      <c r="C13" s="5"/>
      <c r="D13" s="5"/>
      <c r="E13" s="5"/>
      <c r="F13" s="5"/>
      <c r="G13" s="5"/>
      <c r="H13" s="5"/>
      <c r="I13" s="5"/>
      <c r="J13" s="8"/>
      <c r="O13" s="5" t="n">
        <v>2</v>
      </c>
      <c r="P13" s="5" t="s">
        <v>59</v>
      </c>
      <c r="R13" s="5" t="n">
        <v>1</v>
      </c>
      <c r="S13" s="5" t="s">
        <v>60</v>
      </c>
      <c r="T13" s="5" t="s">
        <v>61</v>
      </c>
    </row>
    <row r="14" customFormat="false" ht="13.8" hidden="false" customHeight="false" outlineLevel="0" collapsed="false">
      <c r="A14" s="5" t="n">
        <v>4</v>
      </c>
      <c r="B14" s="5"/>
      <c r="C14" s="5"/>
      <c r="D14" s="5"/>
      <c r="E14" s="5"/>
      <c r="F14" s="5"/>
      <c r="G14" s="5"/>
      <c r="H14" s="5"/>
      <c r="I14" s="5"/>
      <c r="J14" s="8"/>
      <c r="O14" s="5" t="n">
        <v>3</v>
      </c>
      <c r="P14" s="5" t="s">
        <v>62</v>
      </c>
      <c r="R14" s="5" t="n">
        <v>2</v>
      </c>
      <c r="S14" s="5" t="s">
        <v>63</v>
      </c>
      <c r="T14" s="5" t="s">
        <v>64</v>
      </c>
    </row>
    <row r="15" customFormat="false" ht="13.8" hidden="false" customHeight="false" outlineLevel="0" collapsed="false">
      <c r="A15" s="5" t="n">
        <v>5</v>
      </c>
      <c r="B15" s="5"/>
      <c r="C15" s="5"/>
      <c r="D15" s="5"/>
      <c r="E15" s="5"/>
      <c r="F15" s="5"/>
      <c r="G15" s="5"/>
      <c r="H15" s="5"/>
      <c r="I15" s="5"/>
      <c r="J15" s="8"/>
      <c r="O15" s="5" t="n">
        <v>4</v>
      </c>
      <c r="P15" s="5" t="s">
        <v>65</v>
      </c>
      <c r="R15" s="5" t="n">
        <v>3</v>
      </c>
      <c r="S15" s="5" t="s">
        <v>66</v>
      </c>
      <c r="T15" s="5" t="s">
        <v>67</v>
      </c>
    </row>
    <row r="16" customFormat="false" ht="13.8" hidden="false" customHeight="false" outlineLevel="0" collapsed="false">
      <c r="O16" s="5" t="n">
        <v>5</v>
      </c>
      <c r="P16" s="5" t="s">
        <v>68</v>
      </c>
      <c r="R16" s="5" t="n">
        <v>4</v>
      </c>
      <c r="S16" s="5" t="s">
        <v>69</v>
      </c>
      <c r="T16" s="5" t="s">
        <v>70</v>
      </c>
    </row>
    <row r="17" customFormat="false" ht="13.8" hidden="false" customHeight="false" outlineLevel="0" collapsed="false">
      <c r="A17" s="2" t="s">
        <v>71</v>
      </c>
      <c r="B17" s="2"/>
      <c r="C17" s="2"/>
      <c r="D17" s="7"/>
      <c r="E17" s="9"/>
      <c r="F17" s="9"/>
      <c r="G17" s="9"/>
      <c r="H17" s="9"/>
      <c r="I17" s="9"/>
      <c r="J17" s="10"/>
      <c r="O17" s="5" t="n">
        <v>6</v>
      </c>
      <c r="P17" s="5" t="s">
        <v>72</v>
      </c>
      <c r="R17" s="5" t="n">
        <v>5</v>
      </c>
      <c r="S17" s="5" t="s">
        <v>73</v>
      </c>
      <c r="T17" s="5" t="s">
        <v>74</v>
      </c>
    </row>
    <row r="18" customFormat="false" ht="13.8" hidden="false" customHeight="false" outlineLevel="0" collapsed="false">
      <c r="A18" s="4" t="s">
        <v>3</v>
      </c>
      <c r="B18" s="4" t="s">
        <v>75</v>
      </c>
      <c r="C18" s="4" t="s">
        <v>76</v>
      </c>
      <c r="D18" s="8"/>
      <c r="O18" s="5" t="n">
        <v>7</v>
      </c>
      <c r="P18" s="5" t="s">
        <v>77</v>
      </c>
    </row>
    <row r="19" customFormat="false" ht="13.8" hidden="false" customHeight="false" outlineLevel="0" collapsed="false">
      <c r="A19" s="5" t="n">
        <v>1</v>
      </c>
      <c r="B19" s="5"/>
      <c r="C19" s="5"/>
      <c r="D19" s="8"/>
      <c r="O19" s="5" t="n">
        <v>8</v>
      </c>
      <c r="P19" s="5" t="s">
        <v>78</v>
      </c>
      <c r="R19" s="3" t="s">
        <v>79</v>
      </c>
      <c r="S19" s="3"/>
    </row>
    <row r="20" customFormat="false" ht="13.8" hidden="false" customHeight="false" outlineLevel="0" collapsed="false">
      <c r="A20" s="5" t="n">
        <v>2</v>
      </c>
      <c r="B20" s="5"/>
      <c r="C20" s="5"/>
      <c r="D20" s="8"/>
      <c r="O20" s="5" t="n">
        <v>9</v>
      </c>
      <c r="P20" s="5" t="s">
        <v>80</v>
      </c>
      <c r="R20" s="4" t="s">
        <v>3</v>
      </c>
      <c r="S20" s="4" t="s">
        <v>81</v>
      </c>
    </row>
    <row r="21" customFormat="false" ht="13.8" hidden="false" customHeight="false" outlineLevel="0" collapsed="false">
      <c r="A21" s="5" t="n">
        <v>3</v>
      </c>
      <c r="B21" s="5"/>
      <c r="C21" s="5"/>
      <c r="D21" s="8"/>
      <c r="O21" s="5" t="n">
        <v>10</v>
      </c>
      <c r="P21" s="5" t="s">
        <v>82</v>
      </c>
      <c r="R21" s="5" t="n">
        <v>1</v>
      </c>
      <c r="S21" s="5" t="s">
        <v>83</v>
      </c>
    </row>
    <row r="22" customFormat="false" ht="13.8" hidden="false" customHeight="false" outlineLevel="0" collapsed="false">
      <c r="A22" s="5" t="n">
        <v>4</v>
      </c>
      <c r="B22" s="5"/>
      <c r="C22" s="5"/>
      <c r="D22" s="8"/>
      <c r="O22" s="5" t="n">
        <v>11</v>
      </c>
      <c r="P22" s="5" t="s">
        <v>84</v>
      </c>
      <c r="R22" s="5" t="n">
        <v>2</v>
      </c>
      <c r="S22" s="5" t="s">
        <v>85</v>
      </c>
    </row>
    <row r="23" customFormat="false" ht="13.8" hidden="false" customHeight="false" outlineLevel="0" collapsed="false">
      <c r="A23" s="5" t="n">
        <v>5</v>
      </c>
      <c r="B23" s="5"/>
      <c r="C23" s="5"/>
      <c r="D23" s="8"/>
      <c r="O23" s="5" t="n">
        <v>12</v>
      </c>
      <c r="P23" s="5" t="s">
        <v>86</v>
      </c>
      <c r="R23" s="5" t="n">
        <v>3</v>
      </c>
      <c r="S23" s="5" t="s">
        <v>87</v>
      </c>
    </row>
    <row r="24" customFormat="false" ht="13.8" hidden="false" customHeight="false" outlineLevel="0" collapsed="false">
      <c r="O24" s="5" t="n">
        <v>13</v>
      </c>
      <c r="P24" s="5" t="s">
        <v>88</v>
      </c>
      <c r="R24" s="5" t="n">
        <v>4</v>
      </c>
      <c r="S24" s="5" t="s">
        <v>89</v>
      </c>
    </row>
    <row r="25" customFormat="false" ht="13.8" hidden="false" customHeight="false" outlineLevel="0" collapsed="false">
      <c r="A25" s="2" t="s">
        <v>0</v>
      </c>
      <c r="B25" s="2"/>
      <c r="C25" s="2"/>
      <c r="D25" s="2"/>
      <c r="E25" s="7"/>
      <c r="F25" s="9"/>
      <c r="G25" s="9"/>
      <c r="H25" s="9"/>
      <c r="I25" s="9"/>
      <c r="J25" s="10"/>
      <c r="O25" s="5" t="n">
        <v>14</v>
      </c>
      <c r="P25" s="5" t="s">
        <v>90</v>
      </c>
      <c r="R25" s="5" t="n">
        <v>5</v>
      </c>
      <c r="S25" s="5" t="s">
        <v>91</v>
      </c>
    </row>
    <row r="26" customFormat="false" ht="13.8" hidden="false" customHeight="false" outlineLevel="0" collapsed="false">
      <c r="A26" s="4" t="s">
        <v>3</v>
      </c>
      <c r="B26" s="4" t="s">
        <v>75</v>
      </c>
      <c r="C26" s="4" t="s">
        <v>4</v>
      </c>
      <c r="D26" s="11" t="s">
        <v>9</v>
      </c>
      <c r="E26" s="8"/>
      <c r="O26" s="5" t="n">
        <v>15</v>
      </c>
      <c r="P26" s="5" t="s">
        <v>92</v>
      </c>
    </row>
    <row r="27" customFormat="false" ht="13.8" hidden="false" customHeight="false" outlineLevel="0" collapsed="false">
      <c r="A27" s="5" t="n">
        <v>1</v>
      </c>
      <c r="B27" s="5"/>
      <c r="C27" s="5"/>
      <c r="D27" s="5"/>
      <c r="E27" s="8"/>
      <c r="O27" s="5" t="n">
        <v>16</v>
      </c>
      <c r="P27" s="5" t="s">
        <v>93</v>
      </c>
      <c r="R27" s="3" t="s">
        <v>94</v>
      </c>
      <c r="S27" s="3"/>
    </row>
    <row r="28" customFormat="false" ht="13.8" hidden="false" customHeight="false" outlineLevel="0" collapsed="false">
      <c r="A28" s="5" t="n">
        <v>2</v>
      </c>
      <c r="B28" s="5"/>
      <c r="C28" s="5"/>
      <c r="D28" s="5"/>
      <c r="E28" s="8"/>
      <c r="O28" s="5" t="n">
        <v>17</v>
      </c>
      <c r="P28" s="5" t="s">
        <v>95</v>
      </c>
      <c r="R28" s="4" t="s">
        <v>3</v>
      </c>
      <c r="S28" s="4" t="s">
        <v>96</v>
      </c>
    </row>
    <row r="29" customFormat="false" ht="13.8" hidden="false" customHeight="false" outlineLevel="0" collapsed="false">
      <c r="A29" s="5" t="n">
        <v>3</v>
      </c>
      <c r="B29" s="5"/>
      <c r="C29" s="5"/>
      <c r="D29" s="5"/>
      <c r="E29" s="8"/>
      <c r="O29" s="5" t="n">
        <v>18</v>
      </c>
      <c r="P29" s="5" t="s">
        <v>97</v>
      </c>
      <c r="R29" s="5" t="n">
        <v>1</v>
      </c>
      <c r="S29" s="5" t="s">
        <v>98</v>
      </c>
    </row>
    <row r="30" customFormat="false" ht="13.8" hidden="false" customHeight="false" outlineLevel="0" collapsed="false">
      <c r="A30" s="5" t="n">
        <v>4</v>
      </c>
      <c r="B30" s="5"/>
      <c r="C30" s="5"/>
      <c r="D30" s="5"/>
      <c r="E30" s="8"/>
      <c r="R30" s="5" t="n">
        <v>2</v>
      </c>
      <c r="S30" s="5" t="s">
        <v>99</v>
      </c>
    </row>
    <row r="31" customFormat="false" ht="13.8" hidden="false" customHeight="false" outlineLevel="0" collapsed="false">
      <c r="A31" s="5" t="n">
        <v>5</v>
      </c>
      <c r="B31" s="5"/>
      <c r="C31" s="5"/>
      <c r="D31" s="5"/>
      <c r="E31" s="8"/>
      <c r="O31" s="3" t="s">
        <v>100</v>
      </c>
      <c r="P31" s="3"/>
      <c r="R31" s="5" t="n">
        <v>3</v>
      </c>
      <c r="S31" s="5" t="s">
        <v>101</v>
      </c>
    </row>
    <row r="32" customFormat="false" ht="13.8" hidden="false" customHeight="false" outlineLevel="0" collapsed="false">
      <c r="O32" s="4" t="s">
        <v>3</v>
      </c>
      <c r="P32" s="4" t="s">
        <v>5</v>
      </c>
    </row>
    <row r="33" customFormat="false" ht="13.8" hidden="false" customHeight="false" outlineLevel="0" collapsed="false">
      <c r="A33" s="2" t="s">
        <v>102</v>
      </c>
      <c r="B33" s="2"/>
      <c r="C33" s="2"/>
      <c r="D33" s="2"/>
      <c r="E33" s="7"/>
      <c r="F33" s="9"/>
      <c r="G33" s="9"/>
      <c r="H33" s="9"/>
      <c r="I33" s="9"/>
      <c r="J33" s="10"/>
      <c r="O33" s="5" t="n">
        <v>1</v>
      </c>
      <c r="P33" s="5" t="s">
        <v>103</v>
      </c>
    </row>
    <row r="34" customFormat="false" ht="13.8" hidden="false" customHeight="false" outlineLevel="0" collapsed="false">
      <c r="A34" s="4" t="s">
        <v>3</v>
      </c>
      <c r="B34" s="4" t="s">
        <v>104</v>
      </c>
      <c r="C34" s="4" t="s">
        <v>12</v>
      </c>
      <c r="D34" s="4" t="s">
        <v>13</v>
      </c>
      <c r="E34" s="8"/>
      <c r="O34" s="5" t="n">
        <v>2</v>
      </c>
      <c r="P34" s="5" t="s">
        <v>105</v>
      </c>
      <c r="R34" s="3" t="s">
        <v>106</v>
      </c>
      <c r="S34" s="3"/>
      <c r="T34" s="3"/>
    </row>
    <row r="35" customFormat="false" ht="13.8" hidden="false" customHeight="false" outlineLevel="0" collapsed="false">
      <c r="A35" s="5" t="n">
        <v>1</v>
      </c>
      <c r="B35" s="5"/>
      <c r="C35" s="5"/>
      <c r="D35" s="5"/>
      <c r="E35" s="8"/>
      <c r="O35" s="5" t="n">
        <v>3</v>
      </c>
      <c r="P35" s="5" t="s">
        <v>107</v>
      </c>
      <c r="R35" s="4" t="s">
        <v>3</v>
      </c>
      <c r="S35" s="4" t="s">
        <v>108</v>
      </c>
      <c r="T35" s="4" t="s">
        <v>109</v>
      </c>
    </row>
    <row r="36" customFormat="false" ht="13.8" hidden="false" customHeight="false" outlineLevel="0" collapsed="false">
      <c r="A36" s="5" t="n">
        <v>2</v>
      </c>
      <c r="B36" s="5"/>
      <c r="C36" s="5"/>
      <c r="D36" s="5"/>
      <c r="E36" s="8"/>
      <c r="O36" s="5" t="n">
        <v>4</v>
      </c>
      <c r="P36" s="5" t="s">
        <v>110</v>
      </c>
      <c r="R36" s="5" t="n">
        <v>1</v>
      </c>
      <c r="S36" s="5" t="s">
        <v>111</v>
      </c>
      <c r="T36" s="5" t="n">
        <v>6</v>
      </c>
    </row>
    <row r="37" customFormat="false" ht="13.8" hidden="false" customHeight="false" outlineLevel="0" collapsed="false">
      <c r="A37" s="5" t="n">
        <v>3</v>
      </c>
      <c r="B37" s="5"/>
      <c r="C37" s="5"/>
      <c r="D37" s="5"/>
      <c r="E37" s="8"/>
      <c r="O37" s="5" t="n">
        <v>5</v>
      </c>
      <c r="P37" s="5" t="s">
        <v>112</v>
      </c>
      <c r="R37" s="5" t="n">
        <v>2</v>
      </c>
      <c r="S37" s="5" t="s">
        <v>113</v>
      </c>
      <c r="T37" s="5" t="n">
        <v>5</v>
      </c>
    </row>
    <row r="38" customFormat="false" ht="13.8" hidden="false" customHeight="false" outlineLevel="0" collapsed="false">
      <c r="A38" s="5" t="n">
        <v>4</v>
      </c>
      <c r="B38" s="5"/>
      <c r="C38" s="5"/>
      <c r="D38" s="5"/>
      <c r="E38" s="8"/>
      <c r="O38" s="5" t="n">
        <v>6</v>
      </c>
      <c r="P38" s="5" t="s">
        <v>114</v>
      </c>
      <c r="R38" s="5" t="n">
        <v>3</v>
      </c>
      <c r="S38" s="5" t="s">
        <v>115</v>
      </c>
      <c r="T38" s="5" t="n">
        <v>8</v>
      </c>
    </row>
    <row r="39" customFormat="false" ht="13.8" hidden="false" customHeight="false" outlineLevel="0" collapsed="false">
      <c r="A39" s="5" t="n">
        <v>5</v>
      </c>
      <c r="B39" s="5"/>
      <c r="C39" s="5"/>
      <c r="D39" s="5"/>
      <c r="E39" s="8"/>
      <c r="R39" s="5" t="n">
        <v>4</v>
      </c>
      <c r="S39" s="5" t="s">
        <v>116</v>
      </c>
      <c r="T39" s="5" t="n">
        <v>4</v>
      </c>
    </row>
    <row r="40" customFormat="false" ht="13.8" hidden="false" customHeight="false" outlineLevel="0" collapsed="false">
      <c r="O40" s="3" t="s">
        <v>117</v>
      </c>
      <c r="P40" s="3"/>
      <c r="R40" s="5" t="n">
        <v>5</v>
      </c>
      <c r="S40" s="5" t="s">
        <v>118</v>
      </c>
      <c r="T40" s="5" t="n">
        <v>5</v>
      </c>
    </row>
    <row r="41" customFormat="false" ht="13.8" hidden="false" customHeight="false" outlineLevel="0" collapsed="false">
      <c r="A41" s="2" t="s">
        <v>119</v>
      </c>
      <c r="B41" s="2"/>
      <c r="C41" s="2"/>
      <c r="D41" s="2"/>
      <c r="E41" s="2"/>
      <c r="F41" s="2"/>
      <c r="G41" s="2"/>
      <c r="H41" s="2"/>
      <c r="I41" s="2"/>
      <c r="J41" s="2"/>
      <c r="K41" s="7"/>
      <c r="O41" s="4" t="s">
        <v>3</v>
      </c>
      <c r="P41" s="4" t="s">
        <v>5</v>
      </c>
    </row>
    <row r="42" customFormat="false" ht="13.8" hidden="false" customHeight="false" outlineLevel="0" collapsed="false">
      <c r="A42" s="4" t="s">
        <v>3</v>
      </c>
      <c r="B42" s="4" t="s">
        <v>120</v>
      </c>
      <c r="C42" s="4" t="s">
        <v>121</v>
      </c>
      <c r="D42" s="4" t="s">
        <v>53</v>
      </c>
      <c r="E42" s="4" t="s">
        <v>122</v>
      </c>
      <c r="F42" s="4" t="s">
        <v>123</v>
      </c>
      <c r="G42" s="4" t="s">
        <v>124</v>
      </c>
      <c r="H42" s="4" t="s">
        <v>125</v>
      </c>
      <c r="I42" s="4" t="s">
        <v>126</v>
      </c>
      <c r="J42" s="4" t="s">
        <v>127</v>
      </c>
      <c r="K42" s="8"/>
      <c r="O42" s="5" t="n">
        <v>1</v>
      </c>
      <c r="P42" s="5" t="s">
        <v>128</v>
      </c>
      <c r="R42" s="3" t="s">
        <v>129</v>
      </c>
      <c r="S42" s="3"/>
    </row>
    <row r="43" customFormat="false" ht="13.8" hidden="false" customHeight="false" outlineLevel="0" collapsed="false">
      <c r="A43" s="5" t="n">
        <v>1</v>
      </c>
      <c r="B43" s="5"/>
      <c r="C43" s="5"/>
      <c r="D43" s="5"/>
      <c r="E43" s="5"/>
      <c r="F43" s="5"/>
      <c r="G43" s="5"/>
      <c r="H43" s="5"/>
      <c r="I43" s="5"/>
      <c r="J43" s="5"/>
      <c r="K43" s="8"/>
      <c r="O43" s="5" t="n">
        <v>2</v>
      </c>
      <c r="P43" s="5" t="s">
        <v>130</v>
      </c>
      <c r="R43" s="4" t="s">
        <v>3</v>
      </c>
      <c r="S43" s="4" t="s">
        <v>131</v>
      </c>
    </row>
    <row r="44" customFormat="false" ht="13.8" hidden="false" customHeight="false" outlineLevel="0" collapsed="false">
      <c r="A44" s="5" t="n">
        <v>2</v>
      </c>
      <c r="B44" s="5"/>
      <c r="C44" s="5"/>
      <c r="D44" s="5"/>
      <c r="E44" s="5"/>
      <c r="F44" s="5"/>
      <c r="G44" s="5"/>
      <c r="H44" s="5"/>
      <c r="I44" s="5"/>
      <c r="J44" s="5"/>
      <c r="K44" s="8"/>
      <c r="R44" s="5" t="n">
        <v>1</v>
      </c>
      <c r="S44" s="5" t="s">
        <v>132</v>
      </c>
    </row>
    <row r="45" customFormat="false" ht="13.8" hidden="false" customHeight="false" outlineLevel="0" collapsed="false">
      <c r="A45" s="5" t="n">
        <v>3</v>
      </c>
      <c r="B45" s="5"/>
      <c r="C45" s="5"/>
      <c r="D45" s="5"/>
      <c r="E45" s="5"/>
      <c r="F45" s="5"/>
      <c r="G45" s="5"/>
      <c r="H45" s="5"/>
      <c r="I45" s="5"/>
      <c r="J45" s="5"/>
      <c r="K45" s="8"/>
      <c r="O45" s="2" t="s">
        <v>133</v>
      </c>
      <c r="P45" s="2"/>
      <c r="R45" s="5" t="n">
        <v>2</v>
      </c>
      <c r="S45" s="5" t="s">
        <v>134</v>
      </c>
    </row>
    <row r="46" customFormat="false" ht="13.8" hidden="false" customHeight="false" outlineLevel="0" collapsed="false">
      <c r="O46" s="4" t="s">
        <v>3</v>
      </c>
      <c r="P46" s="4" t="s">
        <v>135</v>
      </c>
      <c r="R46" s="5" t="n">
        <v>3</v>
      </c>
      <c r="S46" s="5" t="s">
        <v>136</v>
      </c>
    </row>
    <row r="47" customFormat="false" ht="13.8" hidden="false" customHeight="false" outlineLevel="0" collapsed="false">
      <c r="A47" s="3" t="s">
        <v>137</v>
      </c>
      <c r="B47" s="3"/>
      <c r="C47" s="3"/>
      <c r="D47" s="8"/>
      <c r="O47" s="5" t="n">
        <v>1</v>
      </c>
      <c r="P47" s="5" t="s">
        <v>138</v>
      </c>
    </row>
    <row r="48" customFormat="false" ht="13.8" hidden="false" customHeight="false" outlineLevel="0" collapsed="false">
      <c r="A48" s="4" t="s">
        <v>3</v>
      </c>
      <c r="B48" s="4" t="s">
        <v>139</v>
      </c>
      <c r="C48" s="4" t="s">
        <v>104</v>
      </c>
      <c r="D48" s="8"/>
      <c r="O48" s="5" t="n">
        <v>2</v>
      </c>
      <c r="P48" s="5" t="s">
        <v>140</v>
      </c>
    </row>
    <row r="49" customFormat="false" ht="13.8" hidden="false" customHeight="false" outlineLevel="0" collapsed="false">
      <c r="A49" s="5" t="n">
        <v>1</v>
      </c>
      <c r="B49" s="5"/>
      <c r="C49" s="5"/>
      <c r="D49" s="8"/>
      <c r="O49" s="5" t="n">
        <v>3</v>
      </c>
      <c r="P49" s="5" t="s">
        <v>101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customFormat="false" ht="13.8" hidden="false" customHeight="false" outlineLevel="0" collapsed="false">
      <c r="A50" s="5" t="n">
        <v>2</v>
      </c>
      <c r="B50" s="5"/>
      <c r="C50" s="5"/>
      <c r="D50" s="8"/>
      <c r="O50" s="10"/>
      <c r="P50" s="10"/>
      <c r="Q50" s="8"/>
    </row>
    <row r="51" customFormat="false" ht="13.8" hidden="false" customHeight="false" outlineLevel="0" collapsed="false">
      <c r="O51" s="2" t="s">
        <v>141</v>
      </c>
      <c r="P51" s="2"/>
      <c r="Q51" s="8"/>
    </row>
    <row r="52" customFormat="false" ht="13.8" hidden="false" customHeight="false" outlineLevel="0" collapsed="false">
      <c r="A52" s="3" t="s">
        <v>142</v>
      </c>
      <c r="B52" s="3"/>
      <c r="C52" s="3"/>
      <c r="D52" s="3"/>
      <c r="E52" s="3"/>
      <c r="F52" s="8"/>
      <c r="O52" s="4" t="s">
        <v>3</v>
      </c>
      <c r="P52" s="4" t="s">
        <v>135</v>
      </c>
      <c r="Q52" s="8"/>
    </row>
    <row r="53" customFormat="false" ht="13.8" hidden="false" customHeight="false" outlineLevel="0" collapsed="false">
      <c r="A53" s="12" t="s">
        <v>3</v>
      </c>
      <c r="B53" s="12" t="s">
        <v>104</v>
      </c>
      <c r="C53" s="12" t="s">
        <v>143</v>
      </c>
      <c r="D53" s="12" t="s">
        <v>124</v>
      </c>
      <c r="E53" s="12" t="s">
        <v>123</v>
      </c>
      <c r="F53" s="8"/>
      <c r="O53" s="5" t="n">
        <v>1</v>
      </c>
      <c r="P53" s="5" t="s">
        <v>144</v>
      </c>
      <c r="Q53" s="8"/>
    </row>
    <row r="54" customFormat="false" ht="13.8" hidden="false" customHeight="false" outlineLevel="0" collapsed="false">
      <c r="A54" s="5" t="n">
        <v>1</v>
      </c>
      <c r="B54" s="5"/>
      <c r="C54" s="5"/>
      <c r="D54" s="5"/>
      <c r="E54" s="5"/>
      <c r="F54" s="8"/>
      <c r="O54" s="5" t="n">
        <v>2</v>
      </c>
      <c r="P54" s="5" t="s">
        <v>145</v>
      </c>
      <c r="Q54" s="8"/>
    </row>
    <row r="55" customFormat="false" ht="13.8" hidden="false" customHeight="false" outlineLevel="0" collapsed="false">
      <c r="A55" s="5" t="n">
        <v>2</v>
      </c>
      <c r="B55" s="5"/>
      <c r="C55" s="5"/>
      <c r="D55" s="5"/>
      <c r="E55" s="5"/>
      <c r="F55" s="8"/>
      <c r="O55" s="5" t="n">
        <v>3</v>
      </c>
      <c r="P55" s="5" t="s">
        <v>146</v>
      </c>
    </row>
    <row r="56" customFormat="false" ht="13.8" hidden="false" customHeight="false" outlineLevel="0" collapsed="false">
      <c r="A56" s="5" t="n">
        <v>3</v>
      </c>
      <c r="B56" s="5"/>
      <c r="C56" s="5"/>
      <c r="D56" s="5"/>
      <c r="E56" s="5"/>
      <c r="F56" s="8"/>
    </row>
    <row r="57" customFormat="false" ht="13.8" hidden="false" customHeight="false" outlineLevel="0" collapsed="false">
      <c r="A57" s="5" t="n">
        <v>4</v>
      </c>
      <c r="B57" s="5"/>
      <c r="C57" s="5"/>
      <c r="D57" s="5"/>
      <c r="E57" s="5"/>
      <c r="F57" s="8"/>
    </row>
    <row r="58" customFormat="false" ht="13.8" hidden="false" customHeight="false" outlineLevel="0" collapsed="false">
      <c r="A58" s="5" t="n">
        <v>5</v>
      </c>
      <c r="B58" s="5"/>
      <c r="C58" s="5"/>
      <c r="D58" s="5"/>
      <c r="E58" s="5"/>
      <c r="F58" s="8"/>
    </row>
    <row r="60" customFormat="false" ht="13.8" hidden="false" customHeight="false" outlineLevel="0" collapsed="false">
      <c r="A60" s="2" t="s">
        <v>147</v>
      </c>
      <c r="B60" s="2"/>
      <c r="C60" s="2"/>
      <c r="D60" s="8"/>
    </row>
    <row r="61" customFormat="false" ht="13.8" hidden="false" customHeight="false" outlineLevel="0" collapsed="false">
      <c r="A61" s="13" t="s">
        <v>3</v>
      </c>
      <c r="B61" s="13" t="s">
        <v>104</v>
      </c>
      <c r="C61" s="13" t="s">
        <v>122</v>
      </c>
      <c r="D61" s="8"/>
    </row>
    <row r="62" customFormat="false" ht="13.8" hidden="false" customHeight="false" outlineLevel="0" collapsed="false">
      <c r="A62" s="5" t="n">
        <v>1</v>
      </c>
      <c r="B62" s="5" t="n">
        <v>1</v>
      </c>
      <c r="C62" s="5" t="n">
        <v>1</v>
      </c>
      <c r="D62" s="8"/>
    </row>
    <row r="63" customFormat="false" ht="13.8" hidden="false" customHeight="false" outlineLevel="0" collapsed="false">
      <c r="A63" s="5" t="n">
        <v>2</v>
      </c>
      <c r="B63" s="5" t="n">
        <v>1</v>
      </c>
      <c r="C63" s="5" t="n">
        <v>2</v>
      </c>
      <c r="D63" s="8"/>
    </row>
    <row r="64" customFormat="false" ht="13.8" hidden="false" customHeight="false" outlineLevel="0" collapsed="false">
      <c r="A64" s="5" t="n">
        <v>3</v>
      </c>
      <c r="B64" s="5" t="n">
        <v>5</v>
      </c>
      <c r="C64" s="5" t="n">
        <v>5</v>
      </c>
      <c r="D64" s="8"/>
    </row>
    <row r="65" customFormat="false" ht="13.8" hidden="false" customHeight="false" outlineLevel="0" collapsed="false">
      <c r="A65" s="5" t="n">
        <v>4</v>
      </c>
      <c r="B65" s="5" t="n">
        <v>5</v>
      </c>
      <c r="C65" s="5" t="n">
        <v>3</v>
      </c>
      <c r="D65" s="8"/>
    </row>
    <row r="67" customFormat="false" ht="13.8" hidden="false" customHeight="false" outlineLevel="0" collapsed="false">
      <c r="A67" s="3" t="s">
        <v>148</v>
      </c>
      <c r="B67" s="3"/>
      <c r="C67" s="3"/>
      <c r="D67" s="14"/>
    </row>
    <row r="68" customFormat="false" ht="13.8" hidden="false" customHeight="false" outlineLevel="0" collapsed="false">
      <c r="A68" s="4" t="s">
        <v>3</v>
      </c>
      <c r="B68" s="4" t="s">
        <v>149</v>
      </c>
      <c r="C68" s="4" t="s">
        <v>122</v>
      </c>
      <c r="D68" s="14"/>
    </row>
    <row r="69" customFormat="false" ht="13.8" hidden="false" customHeight="false" outlineLevel="0" collapsed="false">
      <c r="A69" s="5" t="n">
        <v>1</v>
      </c>
      <c r="B69" s="5" t="n">
        <v>1</v>
      </c>
      <c r="C69" s="5"/>
      <c r="D69" s="14"/>
    </row>
    <row r="70" customFormat="false" ht="13.8" hidden="false" customHeight="false" outlineLevel="0" collapsed="false">
      <c r="A70" s="5" t="n">
        <v>2</v>
      </c>
      <c r="B70" s="5" t="n">
        <v>1</v>
      </c>
      <c r="C70" s="5"/>
      <c r="D70" s="14"/>
    </row>
    <row r="71" customFormat="false" ht="13.8" hidden="false" customHeight="false" outlineLevel="0" collapsed="false">
      <c r="A71" s="5" t="n">
        <v>3</v>
      </c>
      <c r="B71" s="5" t="n">
        <v>3</v>
      </c>
      <c r="C71" s="5"/>
      <c r="D71" s="14"/>
    </row>
    <row r="72" customFormat="false" ht="13.8" hidden="false" customHeight="false" outlineLevel="0" collapsed="false">
      <c r="A72" s="5" t="n">
        <v>4</v>
      </c>
      <c r="B72" s="5" t="n">
        <v>2</v>
      </c>
      <c r="C72" s="5"/>
      <c r="D72" s="14"/>
    </row>
    <row r="74" customFormat="false" ht="13.8" hidden="false" customHeight="false" outlineLevel="0" collapsed="false">
      <c r="A74" s="3" t="s">
        <v>150</v>
      </c>
      <c r="B74" s="3"/>
      <c r="C74" s="3"/>
      <c r="D74" s="3"/>
      <c r="E74" s="3"/>
      <c r="F74" s="3"/>
      <c r="G74" s="14"/>
    </row>
    <row r="75" customFormat="false" ht="13.8" hidden="false" customHeight="false" outlineLevel="0" collapsed="false">
      <c r="A75" s="4" t="s">
        <v>3</v>
      </c>
      <c r="B75" s="4" t="s">
        <v>151</v>
      </c>
      <c r="C75" s="4" t="s">
        <v>124</v>
      </c>
      <c r="D75" s="4" t="s">
        <v>152</v>
      </c>
      <c r="E75" s="4" t="s">
        <v>153</v>
      </c>
      <c r="F75" s="4" t="s">
        <v>154</v>
      </c>
      <c r="G75" s="14"/>
    </row>
    <row r="76" customFormat="false" ht="13.8" hidden="false" customHeight="false" outlineLevel="0" collapsed="false">
      <c r="A76" s="5" t="n">
        <v>1</v>
      </c>
      <c r="B76" s="5" t="n">
        <v>1</v>
      </c>
      <c r="C76" s="5" t="n">
        <v>4</v>
      </c>
      <c r="D76" s="6" t="n">
        <f aca="false">DATE(24,5,15)</f>
        <v>8902</v>
      </c>
      <c r="E76" s="5" t="n">
        <v>1</v>
      </c>
      <c r="F76" s="5" t="s">
        <v>155</v>
      </c>
      <c r="G76" s="14"/>
    </row>
    <row r="77" customFormat="false" ht="13.8" hidden="false" customHeight="false" outlineLevel="0" collapsed="false">
      <c r="A77" s="5" t="n">
        <v>2</v>
      </c>
      <c r="B77" s="5" t="n">
        <v>5</v>
      </c>
      <c r="C77" s="5" t="n">
        <v>8</v>
      </c>
      <c r="D77" s="6" t="n">
        <v>45429</v>
      </c>
      <c r="E77" s="5" t="n">
        <v>2</v>
      </c>
      <c r="F77" s="5" t="s">
        <v>155</v>
      </c>
      <c r="G77" s="14"/>
    </row>
    <row r="78" customFormat="false" ht="13.8" hidden="false" customHeight="false" outlineLevel="0" collapsed="false">
      <c r="A78" s="5" t="n">
        <v>3</v>
      </c>
      <c r="B78" s="5" t="n">
        <v>2</v>
      </c>
      <c r="C78" s="5" t="n">
        <v>12</v>
      </c>
      <c r="D78" s="6" t="n">
        <f aca="false">DATE(24,5,15)</f>
        <v>8902</v>
      </c>
      <c r="E78" s="5" t="n">
        <v>1</v>
      </c>
      <c r="F78" s="5" t="s">
        <v>155</v>
      </c>
      <c r="G78" s="14"/>
    </row>
    <row r="79" customFormat="false" ht="13.8" hidden="false" customHeight="false" outlineLevel="0" collapsed="false">
      <c r="A79" s="5" t="n">
        <v>4</v>
      </c>
      <c r="B79" s="5" t="n">
        <v>4</v>
      </c>
      <c r="C79" s="5" t="n">
        <v>16</v>
      </c>
      <c r="D79" s="6" t="n">
        <v>45430</v>
      </c>
      <c r="E79" s="5" t="n">
        <v>1</v>
      </c>
      <c r="F79" s="5" t="s">
        <v>155</v>
      </c>
      <c r="G79" s="14"/>
    </row>
    <row r="80" customFormat="false" ht="13.8" hidden="false" customHeight="false" outlineLevel="0" collapsed="false">
      <c r="A80" s="5" t="n">
        <v>5</v>
      </c>
      <c r="B80" s="5" t="n">
        <v>3</v>
      </c>
      <c r="C80" s="5" t="n">
        <v>18</v>
      </c>
      <c r="D80" s="6" t="n">
        <f aca="false">DATE(24,5,15)</f>
        <v>8902</v>
      </c>
      <c r="E80" s="5" t="n">
        <v>2</v>
      </c>
      <c r="F80" s="5" t="s">
        <v>155</v>
      </c>
      <c r="G80" s="14"/>
    </row>
    <row r="82" customFormat="false" ht="13.8" hidden="false" customHeight="false" outlineLevel="0" collapsed="false">
      <c r="A82" s="3" t="s">
        <v>156</v>
      </c>
      <c r="B82" s="3"/>
      <c r="C82" s="3"/>
      <c r="D82" s="3"/>
      <c r="E82" s="3"/>
      <c r="F82" s="3"/>
      <c r="G82" s="3"/>
      <c r="H82" s="14"/>
    </row>
    <row r="83" customFormat="false" ht="13.8" hidden="false" customHeight="false" outlineLevel="0" collapsed="false">
      <c r="A83" s="4" t="s">
        <v>3</v>
      </c>
      <c r="B83" s="4" t="s">
        <v>104</v>
      </c>
      <c r="C83" s="4" t="s">
        <v>157</v>
      </c>
      <c r="D83" s="4" t="s">
        <v>123</v>
      </c>
      <c r="E83" s="4" t="s">
        <v>152</v>
      </c>
      <c r="F83" s="4" t="s">
        <v>153</v>
      </c>
      <c r="G83" s="4" t="s">
        <v>154</v>
      </c>
      <c r="H83" s="14"/>
    </row>
    <row r="84" customFormat="false" ht="13.8" hidden="false" customHeight="false" outlineLevel="0" collapsed="false">
      <c r="A84" s="5" t="n">
        <v>1</v>
      </c>
      <c r="B84" s="5" t="n">
        <v>5</v>
      </c>
      <c r="C84" s="5" t="n">
        <v>2</v>
      </c>
      <c r="D84" s="5" t="n">
        <v>1</v>
      </c>
      <c r="E84" s="6" t="n">
        <f aca="false">DATE(2024,5,27)</f>
        <v>45439</v>
      </c>
      <c r="F84" s="5" t="n">
        <v>1</v>
      </c>
      <c r="G84" s="5" t="s">
        <v>155</v>
      </c>
      <c r="H84" s="14"/>
    </row>
    <row r="85" customFormat="false" ht="13.8" hidden="false" customHeight="false" outlineLevel="0" collapsed="false">
      <c r="A85" s="5" t="n">
        <v>2</v>
      </c>
      <c r="B85" s="5" t="n">
        <v>3</v>
      </c>
      <c r="C85" s="5" t="n">
        <v>1</v>
      </c>
      <c r="D85" s="5" t="n">
        <v>1</v>
      </c>
      <c r="E85" s="6" t="n">
        <v>45397</v>
      </c>
      <c r="F85" s="5" t="n">
        <v>2</v>
      </c>
      <c r="G85" s="5" t="s">
        <v>155</v>
      </c>
      <c r="H85" s="14"/>
    </row>
    <row r="86" customFormat="false" ht="13.8" hidden="false" customHeight="false" outlineLevel="0" collapsed="false">
      <c r="A86" s="5" t="n">
        <v>3</v>
      </c>
      <c r="B86" s="5" t="n">
        <v>1</v>
      </c>
      <c r="C86" s="5" t="n">
        <v>3</v>
      </c>
      <c r="D86" s="5" t="n">
        <v>2</v>
      </c>
      <c r="E86" s="6" t="n">
        <f aca="false">DATE(2024,5,27)</f>
        <v>45439</v>
      </c>
      <c r="F86" s="5" t="n">
        <v>2</v>
      </c>
      <c r="G86" s="5" t="s">
        <v>155</v>
      </c>
      <c r="H86" s="14"/>
    </row>
    <row r="87" customFormat="false" ht="13.8" hidden="false" customHeight="false" outlineLevel="0" collapsed="false">
      <c r="A87" s="5" t="n">
        <v>4</v>
      </c>
      <c r="B87" s="5" t="n">
        <v>4</v>
      </c>
      <c r="C87" s="5" t="n">
        <v>4</v>
      </c>
      <c r="D87" s="5" t="n">
        <v>3</v>
      </c>
      <c r="E87" s="6" t="n">
        <v>45398</v>
      </c>
      <c r="F87" s="5" t="n">
        <v>2</v>
      </c>
      <c r="G87" s="5" t="s">
        <v>155</v>
      </c>
      <c r="H87" s="14"/>
    </row>
    <row r="88" customFormat="false" ht="13.8" hidden="false" customHeight="false" outlineLevel="0" collapsed="false">
      <c r="A88" s="5" t="n">
        <v>5</v>
      </c>
      <c r="B88" s="5" t="n">
        <v>2</v>
      </c>
      <c r="C88" s="5" t="n">
        <v>3</v>
      </c>
      <c r="D88" s="5" t="n">
        <v>3</v>
      </c>
      <c r="E88" s="6" t="n">
        <f aca="false">DATE(2024,5,27)</f>
        <v>45439</v>
      </c>
      <c r="F88" s="5" t="n">
        <v>1</v>
      </c>
      <c r="G88" s="5" t="s">
        <v>155</v>
      </c>
      <c r="H88" s="14"/>
    </row>
  </sheetData>
  <mergeCells count="25">
    <mergeCell ref="A1:L1"/>
    <mergeCell ref="O1:P1"/>
    <mergeCell ref="R1:T1"/>
    <mergeCell ref="R6:U6"/>
    <mergeCell ref="A9:I9"/>
    <mergeCell ref="O10:P10"/>
    <mergeCell ref="R11:T11"/>
    <mergeCell ref="A17:C17"/>
    <mergeCell ref="R19:S19"/>
    <mergeCell ref="A25:D25"/>
    <mergeCell ref="R27:S27"/>
    <mergeCell ref="O31:P31"/>
    <mergeCell ref="A33:D33"/>
    <mergeCell ref="R34:T34"/>
    <mergeCell ref="O40:P40"/>
    <mergeCell ref="A41:J41"/>
    <mergeCell ref="R42:S42"/>
    <mergeCell ref="O45:P45"/>
    <mergeCell ref="A47:C47"/>
    <mergeCell ref="O51:P51"/>
    <mergeCell ref="A52:E52"/>
    <mergeCell ref="A60:C60"/>
    <mergeCell ref="A67:C67"/>
    <mergeCell ref="A74:F74"/>
    <mergeCell ref="A82:G82"/>
  </mergeCells>
  <hyperlinks>
    <hyperlink ref="H3" r:id="rId1" display="Edimargo6117@gmail.com"/>
    <hyperlink ref="H4" r:id="rId2" display="Abohada8744@soy.sena.edu.co"/>
    <hyperlink ref="H5" r:id="rId3" display="Rsanti5068@yahoo.com"/>
    <hyperlink ref="H6" r:id="rId4" display="crRami27@gmail.com"/>
    <hyperlink ref="H7" r:id="rId5" display="666@inferno.hel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2024-07-10T19:35:16Z</dcterms:created>
  <dc:creator>miguel angel bohada lopez</dc:creator>
  <dc:description/>
  <dc:language>en-US</dc:language>
  <cp:lastModifiedBy/>
  <dcterms:modified xsi:type="dcterms:W3CDTF">2024-09-13T18:24:34Z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